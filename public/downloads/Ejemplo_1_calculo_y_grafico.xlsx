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UTADOR CASA\TODOS LOS DOCUMENTOS\PERSONAL VILMA LUCIA PERILLA\EMPRESAS\SENA DISEÑO INSTRUCCIONAL\Diseño I_Técnico CCC\Diseño Instruccional\CF9\MATERIAL COMPLEMENTARIO COM FORM 9\"/>
    </mc:Choice>
  </mc:AlternateContent>
  <xr:revisionPtr revIDLastSave="0" documentId="8_{BC150CF3-ACBA-4A2C-9138-876B93E24CE5}" xr6:coauthVersionLast="45" xr6:coauthVersionMax="45" xr10:uidLastSave="{00000000-0000-0000-0000-000000000000}"/>
  <bookViews>
    <workbookView xWindow="-20520" yWindow="-105" windowWidth="20640" windowHeight="11160" xr2:uid="{A4CC73E3-8F09-4776-865E-6F7DD230DE64}"/>
  </bookViews>
  <sheets>
    <sheet name="Ejemplo 1" sheetId="7" r:id="rId1"/>
    <sheet name="Plantilla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7" l="1"/>
  <c r="B33" i="8" l="1"/>
  <c r="C33" i="8" s="1"/>
  <c r="B32" i="8"/>
  <c r="C32" i="8" s="1"/>
  <c r="C31" i="8"/>
  <c r="B31" i="8"/>
  <c r="B30" i="8"/>
  <c r="C30" i="8" s="1"/>
  <c r="B29" i="8"/>
  <c r="C29" i="8" s="1"/>
  <c r="B28" i="8"/>
  <c r="C28" i="8" s="1"/>
  <c r="B27" i="8"/>
  <c r="C27" i="8" s="1"/>
  <c r="B26" i="8"/>
  <c r="C26" i="8" s="1"/>
  <c r="B25" i="8"/>
  <c r="C25" i="8" s="1"/>
  <c r="B24" i="8"/>
  <c r="C24" i="8" s="1"/>
  <c r="B23" i="8"/>
  <c r="C23" i="8" s="1"/>
  <c r="B22" i="8"/>
  <c r="C22" i="8" s="1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B14" i="8"/>
  <c r="C14" i="8" s="1"/>
  <c r="B13" i="8"/>
  <c r="C13" i="8" s="1"/>
  <c r="B9" i="8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9" i="7"/>
</calcChain>
</file>

<file path=xl/sharedStrings.xml><?xml version="1.0" encoding="utf-8"?>
<sst xmlns="http://schemas.openxmlformats.org/spreadsheetml/2006/main" count="39" uniqueCount="20">
  <si>
    <t>N=</t>
  </si>
  <si>
    <t>NAC=</t>
  </si>
  <si>
    <t>PO=</t>
  </si>
  <si>
    <t>Porcentaje historico de defectos que presenta el proceso</t>
  </si>
  <si>
    <t>Tipo muestreo=</t>
  </si>
  <si>
    <t>General Tipo II</t>
  </si>
  <si>
    <t>n=</t>
  </si>
  <si>
    <t>c=</t>
  </si>
  <si>
    <t>r=</t>
  </si>
  <si>
    <t>npo=</t>
  </si>
  <si>
    <t>criterio de aceptación</t>
  </si>
  <si>
    <t>criterio de rechazo</t>
  </si>
  <si>
    <t>número de defectos que se esperan</t>
  </si>
  <si>
    <t>DATOS PARA REALIZAR CURVA DE OPERACIÓN</t>
  </si>
  <si>
    <t>PORCENTAJE DE DEFECTUOSOS</t>
  </si>
  <si>
    <t># DEFECTUOSOS ESPERADOS</t>
  </si>
  <si>
    <t>po</t>
  </si>
  <si>
    <t>npo</t>
  </si>
  <si>
    <t>Pa</t>
  </si>
  <si>
    <t>Probabilidad de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</si>
</sst>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9" fontId="0" fillId="0" borderId="1" xfId="0" applyNumberFormat="1" applyBorder="1"/>
    <xf numFmtId="9" fontId="0" fillId="0" borderId="0" xfId="1" applyFont="1"/>
    <xf numFmtId="9" fontId="0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Curva de operación de pantalones tipo jean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'Ejemplo 1'!$C$12</c:f>
              <c:strCache>
                <c:ptCount val="1"/>
                <c:pt idx="0">
                  <c:v>Pa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'Ejemplo 1'!$A$13:$A$33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'Ejemplo 1'!$C$13:$C$33</c:f>
              <c:numCache>
                <c:formatCode>General</c:formatCode>
                <c:ptCount val="21"/>
                <c:pt idx="0">
                  <c:v>1</c:v>
                </c:pt>
                <c:pt idx="1">
                  <c:v>0.99092014219984603</c:v>
                </c:pt>
                <c:pt idx="2">
                  <c:v>0.92118651277028107</c:v>
                </c:pt>
                <c:pt idx="3">
                  <c:v>0.77872291103631697</c:v>
                </c:pt>
                <c:pt idx="4">
                  <c:v>0.60251972440555712</c:v>
                </c:pt>
                <c:pt idx="5">
                  <c:v>0.43347012036670896</c:v>
                </c:pt>
                <c:pt idx="6">
                  <c:v>0.2942299164965641</c:v>
                </c:pt>
                <c:pt idx="7">
                  <c:v>0.19062240934221739</c:v>
                </c:pt>
                <c:pt idx="8">
                  <c:v>0.11891876174590724</c:v>
                </c:pt>
                <c:pt idx="9">
                  <c:v>7.1917117749308784E-2</c:v>
                </c:pt>
                <c:pt idx="10">
                  <c:v>4.2380111991683997E-2</c:v>
                </c:pt>
                <c:pt idx="11">
                  <c:v>2.4433630495543285E-2</c:v>
                </c:pt>
                <c:pt idx="12">
                  <c:v>1.3825873352296949E-2</c:v>
                </c:pt>
                <c:pt idx="13">
                  <c:v>7.6981197485177589E-3</c:v>
                </c:pt>
                <c:pt idx="14">
                  <c:v>4.2263475909349816E-3</c:v>
                </c:pt>
                <c:pt idx="15">
                  <c:v>2.2917912077914221E-3</c:v>
                </c:pt>
                <c:pt idx="16">
                  <c:v>1.2292211040942267E-3</c:v>
                </c:pt>
                <c:pt idx="17">
                  <c:v>6.5290067846969632E-4</c:v>
                </c:pt>
                <c:pt idx="18">
                  <c:v>3.4376716590472413E-4</c:v>
                </c:pt>
                <c:pt idx="19">
                  <c:v>1.7957916686415143E-4</c:v>
                </c:pt>
                <c:pt idx="20">
                  <c:v>9.314161294264012E-5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27-4C12-8121-B742F28A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60416"/>
        <c:axId val="1259165552"/>
      </c:scatterChart>
      <c:valAx>
        <c:axId val="4343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165552"/>
        <c:crosses val="autoZero"/>
        <c:crossBetween val="midCat"/>
      </c:valAx>
      <c:valAx>
        <c:axId val="1259165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3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Curva de operación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Plantilla!$C$12</c:f>
              <c:strCache>
                <c:ptCount val="1"/>
                <c:pt idx="0">
                  <c:v>Pa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Plantilla!$A$13:$A$33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Plantilla!$C$13:$C$33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DD-4165-8A18-E8A6316CF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60416"/>
        <c:axId val="1259165552"/>
      </c:scatterChart>
      <c:valAx>
        <c:axId val="43436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>
                    <a:solidFill>
                      <a:schemeClr val="tx1"/>
                    </a:solidFill>
                  </a:rPr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9165552"/>
        <c:crosses val="autoZero"/>
        <c:crossBetween val="midCat"/>
      </c:valAx>
      <c:valAx>
        <c:axId val="12591655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36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750092</xdr:colOff>
      <xdr:row>10</xdr:row>
      <xdr:rowOff>11906</xdr:rowOff>
    </xdr:from>
    <xdr:to>
      <xdr:col>14</xdr:col>
      <xdr:colOff>488155</xdr:colOff>
      <xdr:row>32</xdr:row>
      <xdr:rowOff>154782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BCDA64-96A6-408F-8849-880A69960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136074</xdr:colOff>
      <xdr:row>8</xdr:row>
      <xdr:rowOff>108861</xdr:rowOff>
    </xdr:from>
    <xdr:to>
      <xdr:col>11</xdr:col>
      <xdr:colOff>421824</xdr:colOff>
      <xdr:row>29</xdr:row>
      <xdr:rowOff>51710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3716B0-447A-47FB-AADF-7ED02B44F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D40A-3414-4DFA-B80D-857E7C1C44D5}">
  <dimension ref="A1:C58"/>
  <sheetViews>
    <sheetView tabSelected="1" topLeftCell="A4" zoomScale="80" zoomScaleNormal="80" workbookViewId="0">
      <selection activeCell="E23" sqref="E23"/>
    </sheetView>
  </sheetViews>
  <sheetFormatPr baseColWidth="10" defaultRowHeight="15" x14ac:dyDescent="0.25"/>
  <cols>
    <col min="1" max="1" width="17" customWidth="1"/>
    <col min="2" max="2" width="15.28515625" customWidth="1"/>
    <col min="3" max="3" width="15.85546875" customWidth="1"/>
  </cols>
  <sheetData>
    <row r="1" spans="1:3" x14ac:dyDescent="0.25">
      <c r="A1" s="1" t="s">
        <v>13</v>
      </c>
    </row>
    <row r="2" spans="1:3" x14ac:dyDescent="0.25">
      <c r="A2" s="3" t="s">
        <v>0</v>
      </c>
      <c r="B2" s="3">
        <v>1000</v>
      </c>
    </row>
    <row r="3" spans="1:3" x14ac:dyDescent="0.25">
      <c r="A3" s="3" t="s">
        <v>1</v>
      </c>
      <c r="B3" s="5">
        <v>1.4999999999999999E-2</v>
      </c>
    </row>
    <row r="4" spans="1:3" x14ac:dyDescent="0.25">
      <c r="A4" s="3" t="s">
        <v>2</v>
      </c>
      <c r="B4" s="6">
        <v>0.04</v>
      </c>
      <c r="C4" t="s">
        <v>3</v>
      </c>
    </row>
    <row r="5" spans="1:3" x14ac:dyDescent="0.25">
      <c r="A5" s="3" t="s">
        <v>4</v>
      </c>
      <c r="B5" s="3" t="s">
        <v>5</v>
      </c>
    </row>
    <row r="6" spans="1:3" x14ac:dyDescent="0.25">
      <c r="A6" s="3" t="s">
        <v>6</v>
      </c>
      <c r="B6" s="3">
        <v>80</v>
      </c>
    </row>
    <row r="7" spans="1:3" x14ac:dyDescent="0.25">
      <c r="A7" s="3" t="s">
        <v>7</v>
      </c>
      <c r="B7" s="3">
        <v>3</v>
      </c>
      <c r="C7" t="s">
        <v>10</v>
      </c>
    </row>
    <row r="8" spans="1:3" x14ac:dyDescent="0.25">
      <c r="A8" s="3" t="s">
        <v>8</v>
      </c>
      <c r="B8" s="3">
        <v>4</v>
      </c>
      <c r="C8" t="s">
        <v>11</v>
      </c>
    </row>
    <row r="9" spans="1:3" x14ac:dyDescent="0.25">
      <c r="A9" s="3" t="s">
        <v>9</v>
      </c>
      <c r="B9" s="3">
        <f>B6*B4</f>
        <v>3.2</v>
      </c>
      <c r="C9" t="s">
        <v>12</v>
      </c>
    </row>
    <row r="11" spans="1:3" ht="34.5" customHeight="1" x14ac:dyDescent="0.25">
      <c r="A11" s="9" t="s">
        <v>14</v>
      </c>
      <c r="B11" s="9" t="s">
        <v>15</v>
      </c>
      <c r="C11" s="9" t="s">
        <v>19</v>
      </c>
    </row>
    <row r="12" spans="1:3" x14ac:dyDescent="0.25">
      <c r="A12" s="2" t="s">
        <v>16</v>
      </c>
      <c r="B12" s="2" t="s">
        <v>17</v>
      </c>
      <c r="C12" s="2" t="s">
        <v>18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0.8</v>
      </c>
      <c r="C14" s="3">
        <f t="shared" ref="C14:C33" si="1">_xlfn.POISSON.DIST($B$7,B14,1)</f>
        <v>0.99092014219984603</v>
      </c>
    </row>
    <row r="15" spans="1:3" x14ac:dyDescent="0.25">
      <c r="A15" s="8">
        <v>0.02</v>
      </c>
      <c r="B15" s="4">
        <f t="shared" si="0"/>
        <v>1.6</v>
      </c>
      <c r="C15" s="3">
        <f t="shared" si="1"/>
        <v>0.92118651277028107</v>
      </c>
    </row>
    <row r="16" spans="1:3" x14ac:dyDescent="0.25">
      <c r="A16" s="8">
        <v>0.03</v>
      </c>
      <c r="B16" s="4">
        <f t="shared" si="0"/>
        <v>2.4</v>
      </c>
      <c r="C16" s="3">
        <f t="shared" si="1"/>
        <v>0.77872291103631697</v>
      </c>
    </row>
    <row r="17" spans="1:3" x14ac:dyDescent="0.25">
      <c r="A17" s="8">
        <v>0.04</v>
      </c>
      <c r="B17" s="4">
        <f t="shared" si="0"/>
        <v>3.2</v>
      </c>
      <c r="C17" s="3">
        <f t="shared" si="1"/>
        <v>0.60251972440555712</v>
      </c>
    </row>
    <row r="18" spans="1:3" x14ac:dyDescent="0.25">
      <c r="A18" s="8">
        <v>0.05</v>
      </c>
      <c r="B18" s="4">
        <f t="shared" si="0"/>
        <v>4</v>
      </c>
      <c r="C18" s="3">
        <f t="shared" si="1"/>
        <v>0.43347012036670896</v>
      </c>
    </row>
    <row r="19" spans="1:3" x14ac:dyDescent="0.25">
      <c r="A19" s="8">
        <v>0.06</v>
      </c>
      <c r="B19" s="4">
        <f t="shared" si="0"/>
        <v>4.8</v>
      </c>
      <c r="C19" s="3">
        <f t="shared" si="1"/>
        <v>0.2942299164965641</v>
      </c>
    </row>
    <row r="20" spans="1:3" x14ac:dyDescent="0.25">
      <c r="A20" s="8">
        <v>7.0000000000000007E-2</v>
      </c>
      <c r="B20" s="4">
        <f t="shared" si="0"/>
        <v>5.6000000000000005</v>
      </c>
      <c r="C20" s="3">
        <f t="shared" si="1"/>
        <v>0.19062240934221739</v>
      </c>
    </row>
    <row r="21" spans="1:3" x14ac:dyDescent="0.25">
      <c r="A21" s="8">
        <v>0.08</v>
      </c>
      <c r="B21" s="4">
        <f t="shared" si="0"/>
        <v>6.4</v>
      </c>
      <c r="C21" s="3">
        <f t="shared" si="1"/>
        <v>0.11891876174590724</v>
      </c>
    </row>
    <row r="22" spans="1:3" x14ac:dyDescent="0.25">
      <c r="A22" s="8">
        <v>0.09</v>
      </c>
      <c r="B22" s="4">
        <f t="shared" si="0"/>
        <v>7.1999999999999993</v>
      </c>
      <c r="C22" s="3">
        <f t="shared" si="1"/>
        <v>7.1917117749308784E-2</v>
      </c>
    </row>
    <row r="23" spans="1:3" x14ac:dyDescent="0.25">
      <c r="A23" s="8">
        <v>0.1</v>
      </c>
      <c r="B23" s="4">
        <f t="shared" si="0"/>
        <v>8</v>
      </c>
      <c r="C23" s="3">
        <f t="shared" si="1"/>
        <v>4.2380111991683997E-2</v>
      </c>
    </row>
    <row r="24" spans="1:3" x14ac:dyDescent="0.25">
      <c r="A24" s="8">
        <v>0.11</v>
      </c>
      <c r="B24" s="4">
        <f t="shared" si="0"/>
        <v>8.8000000000000007</v>
      </c>
      <c r="C24" s="3">
        <f t="shared" si="1"/>
        <v>2.4433630495543285E-2</v>
      </c>
    </row>
    <row r="25" spans="1:3" x14ac:dyDescent="0.25">
      <c r="A25" s="8">
        <v>0.12</v>
      </c>
      <c r="B25" s="4">
        <f t="shared" si="0"/>
        <v>9.6</v>
      </c>
      <c r="C25" s="3">
        <f t="shared" si="1"/>
        <v>1.3825873352296949E-2</v>
      </c>
    </row>
    <row r="26" spans="1:3" x14ac:dyDescent="0.25">
      <c r="A26" s="8">
        <v>0.13</v>
      </c>
      <c r="B26" s="4">
        <f t="shared" si="0"/>
        <v>10.4</v>
      </c>
      <c r="C26" s="3">
        <f t="shared" si="1"/>
        <v>7.6981197485177589E-3</v>
      </c>
    </row>
    <row r="27" spans="1:3" x14ac:dyDescent="0.25">
      <c r="A27" s="8">
        <v>0.14000000000000001</v>
      </c>
      <c r="B27" s="4">
        <f t="shared" si="0"/>
        <v>11.200000000000001</v>
      </c>
      <c r="C27" s="3">
        <f t="shared" si="1"/>
        <v>4.2263475909349816E-3</v>
      </c>
    </row>
    <row r="28" spans="1:3" x14ac:dyDescent="0.25">
      <c r="A28" s="8">
        <v>0.15</v>
      </c>
      <c r="B28" s="4">
        <f t="shared" si="0"/>
        <v>12</v>
      </c>
      <c r="C28" s="3">
        <f t="shared" si="1"/>
        <v>2.2917912077914221E-3</v>
      </c>
    </row>
    <row r="29" spans="1:3" x14ac:dyDescent="0.25">
      <c r="A29" s="8">
        <v>0.16</v>
      </c>
      <c r="B29" s="4">
        <f t="shared" si="0"/>
        <v>12.8</v>
      </c>
      <c r="C29" s="3">
        <f t="shared" si="1"/>
        <v>1.2292211040942267E-3</v>
      </c>
    </row>
    <row r="30" spans="1:3" x14ac:dyDescent="0.25">
      <c r="A30" s="8">
        <v>0.17</v>
      </c>
      <c r="B30" s="4">
        <f t="shared" si="0"/>
        <v>13.600000000000001</v>
      </c>
      <c r="C30" s="3">
        <f t="shared" si="1"/>
        <v>6.5290067846969632E-4</v>
      </c>
    </row>
    <row r="31" spans="1:3" x14ac:dyDescent="0.25">
      <c r="A31" s="8">
        <v>0.18</v>
      </c>
      <c r="B31" s="4">
        <f t="shared" si="0"/>
        <v>14.399999999999999</v>
      </c>
      <c r="C31" s="3">
        <f t="shared" si="1"/>
        <v>3.4376716590472413E-4</v>
      </c>
    </row>
    <row r="32" spans="1:3" x14ac:dyDescent="0.25">
      <c r="A32" s="8">
        <v>0.19</v>
      </c>
      <c r="B32" s="4">
        <f t="shared" si="0"/>
        <v>15.2</v>
      </c>
      <c r="C32" s="3">
        <f t="shared" si="1"/>
        <v>1.7957916686415143E-4</v>
      </c>
    </row>
    <row r="33" spans="1:3" x14ac:dyDescent="0.25">
      <c r="A33" s="8">
        <v>0.2</v>
      </c>
      <c r="B33" s="4">
        <f t="shared" si="0"/>
        <v>16</v>
      </c>
      <c r="C33" s="3">
        <f t="shared" si="1"/>
        <v>9.314161294264012E-5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9429-5D36-4DDC-9359-3E8DB046A89B}">
  <dimension ref="A1:C58"/>
  <sheetViews>
    <sheetView zoomScale="70" zoomScaleNormal="70" workbookViewId="0">
      <selection activeCell="N13" sqref="N13"/>
    </sheetView>
  </sheetViews>
  <sheetFormatPr baseColWidth="10" defaultRowHeight="15" x14ac:dyDescent="0.25"/>
  <cols>
    <col min="1" max="1" width="17" customWidth="1"/>
    <col min="2" max="2" width="15.28515625" customWidth="1"/>
    <col min="3" max="3" width="15.85546875" customWidth="1"/>
  </cols>
  <sheetData>
    <row r="1" spans="1:3" x14ac:dyDescent="0.25">
      <c r="A1" s="1" t="s">
        <v>13</v>
      </c>
    </row>
    <row r="2" spans="1:3" x14ac:dyDescent="0.25">
      <c r="A2" s="3" t="s">
        <v>0</v>
      </c>
      <c r="B2" s="3"/>
    </row>
    <row r="3" spans="1:3" x14ac:dyDescent="0.25">
      <c r="A3" s="3" t="s">
        <v>1</v>
      </c>
      <c r="B3" s="5"/>
    </row>
    <row r="4" spans="1:3" x14ac:dyDescent="0.25">
      <c r="A4" s="3" t="s">
        <v>2</v>
      </c>
      <c r="B4" s="6"/>
      <c r="C4" t="s">
        <v>3</v>
      </c>
    </row>
    <row r="5" spans="1:3" x14ac:dyDescent="0.25">
      <c r="A5" s="3" t="s">
        <v>4</v>
      </c>
      <c r="B5" s="3"/>
    </row>
    <row r="6" spans="1:3" x14ac:dyDescent="0.25">
      <c r="A6" s="3" t="s">
        <v>6</v>
      </c>
      <c r="B6" s="3"/>
    </row>
    <row r="7" spans="1:3" x14ac:dyDescent="0.25">
      <c r="A7" s="3" t="s">
        <v>7</v>
      </c>
      <c r="B7" s="3"/>
      <c r="C7" t="s">
        <v>10</v>
      </c>
    </row>
    <row r="8" spans="1:3" x14ac:dyDescent="0.25">
      <c r="A8" s="3" t="s">
        <v>8</v>
      </c>
      <c r="B8" s="3"/>
      <c r="C8" t="s">
        <v>11</v>
      </c>
    </row>
    <row r="9" spans="1:3" x14ac:dyDescent="0.25">
      <c r="A9" s="3" t="s">
        <v>9</v>
      </c>
      <c r="B9" s="3">
        <f>B6*B4</f>
        <v>0</v>
      </c>
      <c r="C9" t="s">
        <v>12</v>
      </c>
    </row>
    <row r="11" spans="1:3" ht="34.5" customHeight="1" x14ac:dyDescent="0.25">
      <c r="A11" s="9" t="s">
        <v>14</v>
      </c>
      <c r="B11" s="9" t="s">
        <v>15</v>
      </c>
      <c r="C11" s="9" t="s">
        <v>19</v>
      </c>
    </row>
    <row r="12" spans="1:3" x14ac:dyDescent="0.25">
      <c r="A12" s="2" t="s">
        <v>16</v>
      </c>
      <c r="B12" s="2" t="s">
        <v>17</v>
      </c>
      <c r="C12" s="2" t="s">
        <v>18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0</v>
      </c>
      <c r="C14" s="3">
        <f t="shared" ref="C14:C33" si="1">_xlfn.POISSON.DIST($B$7,B14,1)</f>
        <v>1</v>
      </c>
    </row>
    <row r="15" spans="1:3" x14ac:dyDescent="0.25">
      <c r="A15" s="8">
        <v>0.02</v>
      </c>
      <c r="B15" s="4">
        <f t="shared" si="0"/>
        <v>0</v>
      </c>
      <c r="C15" s="3">
        <f t="shared" si="1"/>
        <v>1</v>
      </c>
    </row>
    <row r="16" spans="1:3" x14ac:dyDescent="0.25">
      <c r="A16" s="8">
        <v>0.03</v>
      </c>
      <c r="B16" s="4">
        <f t="shared" si="0"/>
        <v>0</v>
      </c>
      <c r="C16" s="3">
        <f t="shared" si="1"/>
        <v>1</v>
      </c>
    </row>
    <row r="17" spans="1:3" x14ac:dyDescent="0.25">
      <c r="A17" s="8">
        <v>0.04</v>
      </c>
      <c r="B17" s="4">
        <f t="shared" si="0"/>
        <v>0</v>
      </c>
      <c r="C17" s="3">
        <f t="shared" si="1"/>
        <v>1</v>
      </c>
    </row>
    <row r="18" spans="1:3" x14ac:dyDescent="0.25">
      <c r="A18" s="8">
        <v>0.05</v>
      </c>
      <c r="B18" s="4">
        <f t="shared" si="0"/>
        <v>0</v>
      </c>
      <c r="C18" s="3">
        <f t="shared" si="1"/>
        <v>1</v>
      </c>
    </row>
    <row r="19" spans="1:3" x14ac:dyDescent="0.25">
      <c r="A19" s="8">
        <v>0.06</v>
      </c>
      <c r="B19" s="4">
        <f t="shared" si="0"/>
        <v>0</v>
      </c>
      <c r="C19" s="3">
        <f t="shared" si="1"/>
        <v>1</v>
      </c>
    </row>
    <row r="20" spans="1:3" x14ac:dyDescent="0.25">
      <c r="A20" s="8">
        <v>7.0000000000000007E-2</v>
      </c>
      <c r="B20" s="4">
        <f t="shared" si="0"/>
        <v>0</v>
      </c>
      <c r="C20" s="3">
        <f t="shared" si="1"/>
        <v>1</v>
      </c>
    </row>
    <row r="21" spans="1:3" x14ac:dyDescent="0.25">
      <c r="A21" s="8">
        <v>0.08</v>
      </c>
      <c r="B21" s="4">
        <f t="shared" si="0"/>
        <v>0</v>
      </c>
      <c r="C21" s="3">
        <f t="shared" si="1"/>
        <v>1</v>
      </c>
    </row>
    <row r="22" spans="1:3" x14ac:dyDescent="0.25">
      <c r="A22" s="8">
        <v>0.09</v>
      </c>
      <c r="B22" s="4">
        <f t="shared" si="0"/>
        <v>0</v>
      </c>
      <c r="C22" s="3">
        <f t="shared" si="1"/>
        <v>1</v>
      </c>
    </row>
    <row r="23" spans="1:3" x14ac:dyDescent="0.25">
      <c r="A23" s="8">
        <v>0.1</v>
      </c>
      <c r="B23" s="4">
        <f t="shared" si="0"/>
        <v>0</v>
      </c>
      <c r="C23" s="3">
        <f t="shared" si="1"/>
        <v>1</v>
      </c>
    </row>
    <row r="24" spans="1:3" x14ac:dyDescent="0.25">
      <c r="A24" s="8">
        <v>0.11</v>
      </c>
      <c r="B24" s="4">
        <f t="shared" si="0"/>
        <v>0</v>
      </c>
      <c r="C24" s="3">
        <f t="shared" si="1"/>
        <v>1</v>
      </c>
    </row>
    <row r="25" spans="1:3" x14ac:dyDescent="0.25">
      <c r="A25" s="8">
        <v>0.12</v>
      </c>
      <c r="B25" s="4">
        <f t="shared" si="0"/>
        <v>0</v>
      </c>
      <c r="C25" s="3">
        <f t="shared" si="1"/>
        <v>1</v>
      </c>
    </row>
    <row r="26" spans="1:3" x14ac:dyDescent="0.25">
      <c r="A26" s="8">
        <v>0.13</v>
      </c>
      <c r="B26" s="4">
        <f t="shared" si="0"/>
        <v>0</v>
      </c>
      <c r="C26" s="3">
        <f t="shared" si="1"/>
        <v>1</v>
      </c>
    </row>
    <row r="27" spans="1:3" x14ac:dyDescent="0.25">
      <c r="A27" s="8">
        <v>0.14000000000000001</v>
      </c>
      <c r="B27" s="4">
        <f t="shared" si="0"/>
        <v>0</v>
      </c>
      <c r="C27" s="3">
        <f t="shared" si="1"/>
        <v>1</v>
      </c>
    </row>
    <row r="28" spans="1:3" x14ac:dyDescent="0.25">
      <c r="A28" s="8">
        <v>0.15</v>
      </c>
      <c r="B28" s="4">
        <f t="shared" si="0"/>
        <v>0</v>
      </c>
      <c r="C28" s="3">
        <f t="shared" si="1"/>
        <v>1</v>
      </c>
    </row>
    <row r="29" spans="1:3" x14ac:dyDescent="0.25">
      <c r="A29" s="8">
        <v>0.16</v>
      </c>
      <c r="B29" s="4">
        <f t="shared" si="0"/>
        <v>0</v>
      </c>
      <c r="C29" s="3">
        <f t="shared" si="1"/>
        <v>1</v>
      </c>
    </row>
    <row r="30" spans="1:3" x14ac:dyDescent="0.25">
      <c r="A30" s="8">
        <v>0.17</v>
      </c>
      <c r="B30" s="4">
        <f t="shared" si="0"/>
        <v>0</v>
      </c>
      <c r="C30" s="3">
        <f t="shared" si="1"/>
        <v>1</v>
      </c>
    </row>
    <row r="31" spans="1:3" x14ac:dyDescent="0.25">
      <c r="A31" s="8">
        <v>0.18</v>
      </c>
      <c r="B31" s="4">
        <f t="shared" si="0"/>
        <v>0</v>
      </c>
      <c r="C31" s="3">
        <f t="shared" si="1"/>
        <v>1</v>
      </c>
    </row>
    <row r="32" spans="1:3" x14ac:dyDescent="0.25">
      <c r="A32" s="8">
        <v>0.19</v>
      </c>
      <c r="B32" s="4">
        <f t="shared" si="0"/>
        <v>0</v>
      </c>
      <c r="C32" s="3">
        <f t="shared" si="1"/>
        <v>1</v>
      </c>
    </row>
    <row r="33" spans="1:3" x14ac:dyDescent="0.25">
      <c r="A33" s="8">
        <v>0.2</v>
      </c>
      <c r="B33" s="4">
        <f t="shared" si="0"/>
        <v>0</v>
      </c>
      <c r="C33" s="3">
        <f t="shared" si="1"/>
        <v>1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51BB95-0514-4EF7-97CB-25F0C2F1BF86}"/>
</file>

<file path=customXml/itemProps2.xml><?xml version="1.0" encoding="utf-8"?>
<ds:datastoreItem xmlns:ds="http://schemas.openxmlformats.org/officeDocument/2006/customXml" ds:itemID="{51B3CDFF-178D-4995-955B-7EF505B0E6E5}"/>
</file>

<file path=customXml/itemProps3.xml><?xml version="1.0" encoding="utf-8"?>
<ds:datastoreItem xmlns:ds="http://schemas.openxmlformats.org/officeDocument/2006/customXml" ds:itemID="{F54D992F-BC03-4BC0-BB54-979103826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1</vt:lpstr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Sandrita G</dc:creator>
  <cp:lastModifiedBy>Vilma  </cp:lastModifiedBy>
  <dcterms:created xsi:type="dcterms:W3CDTF">2020-11-10T19:08:03Z</dcterms:created>
  <dcterms:modified xsi:type="dcterms:W3CDTF">2020-12-11T02:15:06Z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</Properties>
</file>